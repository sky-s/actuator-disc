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filterPrivacy="1" codeName="ThisWorkbook"/>
  <xr:revisionPtr revIDLastSave="0" documentId="13_ncr:1_{AD1D5109-9361-45F8-8E96-42E56C9E796A}" xr6:coauthVersionLast="43" xr6:coauthVersionMax="43" xr10:uidLastSave="{00000000-0000-0000-0000-000000000000}"/>
  <bookViews>
    <workbookView xWindow="5400" yWindow="2520" windowWidth="21600" windowHeight="11505" xr2:uid="{00000000-000D-0000-FFFF-FFFF00000000}"/>
  </bookViews>
  <sheets>
    <sheet name="actuator_disc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9" i="1" l="1"/>
  <c r="D10" i="1" s="1"/>
  <c r="C8" i="1"/>
  <c r="D18" i="1"/>
  <c r="G12" i="1"/>
  <c r="G18" i="1"/>
  <c r="G15" i="1"/>
  <c r="G11" i="1"/>
  <c r="G8" i="1"/>
  <c r="G5" i="1"/>
  <c r="G10" i="1"/>
  <c r="G14" i="1"/>
  <c r="G17" i="1"/>
  <c r="G13" i="1"/>
  <c r="G9" i="1"/>
  <c r="G7" i="1"/>
  <c r="G3" i="1"/>
  <c r="G16" i="1"/>
  <c r="G6" i="1"/>
  <c r="D8" i="1"/>
  <c r="G4" i="1"/>
  <c r="D22" i="1" l="1"/>
  <c r="D15" i="1"/>
  <c r="D12" i="1"/>
  <c r="D13" i="1" l="1"/>
  <c r="D14" i="1" s="1"/>
  <c r="D19" i="1"/>
  <c r="D20" i="1" s="1"/>
</calcChain>
</file>

<file path=xl/sharedStrings.xml><?xml version="1.0" encoding="utf-8"?>
<sst xmlns="http://schemas.openxmlformats.org/spreadsheetml/2006/main" count="24" uniqueCount="20">
  <si>
    <t>Classic momentum theory</t>
  </si>
  <si>
    <t>Induced power (W)</t>
  </si>
  <si>
    <t>Thrust (N)</t>
  </si>
  <si>
    <t>Inputs</t>
  </si>
  <si>
    <t>density (kg/m³)</t>
  </si>
  <si>
    <r>
      <t>area (m</t>
    </r>
    <r>
      <rPr>
        <b/>
        <sz val="11"/>
        <color theme="1"/>
        <rFont val="Calibri"/>
        <family val="2"/>
        <scheme val="minor"/>
      </rPr>
      <t>²</t>
    </r>
    <r>
      <rPr>
        <sz val="11"/>
        <color theme="1"/>
        <rFont val="Calibri"/>
        <family val="2"/>
        <scheme val="minor"/>
      </rPr>
      <t>)</t>
    </r>
  </si>
  <si>
    <t>velocity (m/s)</t>
  </si>
  <si>
    <t>disc efficiency</t>
  </si>
  <si>
    <t>thrust (N)</t>
  </si>
  <si>
    <t>VBA function</t>
  </si>
  <si>
    <t>Workbook function</t>
  </si>
  <si>
    <t>induced velocity, static (m/s)</t>
  </si>
  <si>
    <t>induced velocity (m/s)</t>
  </si>
  <si>
    <t>induced power (W)</t>
  </si>
  <si>
    <t>shaft power (W)</t>
  </si>
  <si>
    <t>propeller efficiency</t>
  </si>
  <si>
    <t>ideal efficiency</t>
  </si>
  <si>
    <t>Inverse momentum theory</t>
  </si>
  <si>
    <t>kappa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</si>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</sst>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E+00"/>
    <numFmt numFmtId="166" formatCode="0.0E+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vertical="center"/>
    </xf>
    <xf numFmtId="1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1" xfId="0" applyBorder="1" applyAlignment="1">
      <alignment vertical="center"/>
    </xf>
    <xf numFmtId="9" fontId="0" fillId="0" borderId="1" xfId="1" applyFont="1" applyBorder="1" applyAlignment="1">
      <alignment vertical="center"/>
    </xf>
    <xf numFmtId="0" fontId="0" fillId="0" borderId="1" xfId="0" applyBorder="1" applyAlignment="1">
      <alignment horizontal="left" vertical="center"/>
    </xf>
    <xf numFmtId="2" fontId="0" fillId="0" borderId="1" xfId="0" applyNumberFormat="1" applyBorder="1" applyAlignment="1">
      <alignment vertical="center"/>
    </xf>
    <xf numFmtId="165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actuator_disc!$F$3:$F$18</c:f>
              <c:numCache>
                <c:formatCode>General</c:formatCode>
                <c:ptCount val="16"/>
                <c:pt idx="0" formatCode="0">
                  <c:v>0</c:v>
                </c:pt>
                <c:pt idx="1">
                  <c:v>10000</c:v>
                </c:pt>
                <c:pt idx="2" formatCode="0">
                  <c:v>20000</c:v>
                </c:pt>
                <c:pt idx="3">
                  <c:v>30000</c:v>
                </c:pt>
                <c:pt idx="4" formatCode="0">
                  <c:v>40000</c:v>
                </c:pt>
                <c:pt idx="5">
                  <c:v>50000</c:v>
                </c:pt>
                <c:pt idx="6" formatCode="0">
                  <c:v>60000</c:v>
                </c:pt>
                <c:pt idx="7">
                  <c:v>70000</c:v>
                </c:pt>
                <c:pt idx="8" formatCode="0">
                  <c:v>80000</c:v>
                </c:pt>
                <c:pt idx="9">
                  <c:v>90000</c:v>
                </c:pt>
                <c:pt idx="10" formatCode="0">
                  <c:v>100000</c:v>
                </c:pt>
                <c:pt idx="11">
                  <c:v>110000</c:v>
                </c:pt>
                <c:pt idx="12" formatCode="0">
                  <c:v>120000</c:v>
                </c:pt>
                <c:pt idx="13">
                  <c:v>130000</c:v>
                </c:pt>
                <c:pt idx="14" formatCode="0">
                  <c:v>140000</c:v>
                </c:pt>
                <c:pt idx="15">
                  <c:v>150000</c:v>
                </c:pt>
              </c:numCache>
            </c:numRef>
          </c:xVal>
          <c:yVal>
            <c:numRef>
              <c:f>actuator_disc!$G$3:$G$18</c:f>
              <c:numCache>
                <c:formatCode>0</c:formatCode>
                <c:ptCount val="16"/>
                <c:pt idx="0">
                  <c:v>0</c:v>
                </c:pt>
                <c:pt idx="1">
                  <c:v>197.89126253303081</c:v>
                </c:pt>
                <c:pt idx="2">
                  <c:v>391.81611455255774</c:v>
                </c:pt>
                <c:pt idx="3">
                  <c:v>582.1090102566892</c:v>
                </c:pt>
                <c:pt idx="4">
                  <c:v>769.05726470083732</c:v>
                </c:pt>
                <c:pt idx="5">
                  <c:v>952.91003631777301</c:v>
                </c:pt>
                <c:pt idx="6">
                  <c:v>1133.8852028722929</c:v>
                </c:pt>
                <c:pt idx="7">
                  <c:v>1312.1747077039161</c:v>
                </c:pt>
                <c:pt idx="8">
                  <c:v>1487.9487747188198</c:v>
                </c:pt>
                <c:pt idx="9">
                  <c:v>1661.3592730922271</c:v>
                </c:pt>
                <c:pt idx="10">
                  <c:v>1832.5424334703425</c:v>
                </c:pt>
                <c:pt idx="11">
                  <c:v>2001.6210630170349</c:v>
                </c:pt>
                <c:pt idx="12">
                  <c:v>2168.706368518122</c:v>
                </c:pt>
                <c:pt idx="13">
                  <c:v>2333.8994696007348</c:v>
                </c:pt>
                <c:pt idx="14">
                  <c:v>2497.2926644921922</c:v>
                </c:pt>
                <c:pt idx="15">
                  <c:v>2658.9704963506583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0A-4732-A9DB-F3F1200B5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64176"/>
        <c:axId val="130188192"/>
      </c:scatterChart>
      <c:valAx>
        <c:axId val="137864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actuator_disc!$F$2</c:f>
              <c:strCache>
                <c:ptCount val="1"/>
                <c:pt idx="0">
                  <c:v>Induced power (W)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88192"/>
        <c:crosses val="autoZero"/>
        <c:crossBetween val="midCat"/>
      </c:valAx>
      <c:valAx>
        <c:axId val="13018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actuator_disc!$G$2</c:f>
              <c:strCache>
                <c:ptCount val="1"/>
                <c:pt idx="0">
                  <c:v>Thrust (N)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64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</xdr:colOff>
      <xdr:row>2</xdr:row>
      <xdr:rowOff>66675</xdr:rowOff>
    </xdr:from>
    <xdr:to>
      <xdr:col>14</xdr:col>
      <xdr:colOff>333375</xdr:colOff>
      <xdr:row>16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ABBD0-6F88-464E-A548-6B5A9E4ECF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22"/>
  <sheetViews>
    <sheetView showGridLines="0" tabSelected="1" topLeftCell="A4" workbookViewId="0">
      <selection activeCell="J2" sqref="J2"/>
    </sheetView>
  </sheetViews>
  <sheetFormatPr defaultRowHeight="15" x14ac:dyDescent="0.25"/>
  <cols>
    <col min="1" max="1" width="2.7109375" customWidth="1"/>
    <col min="2" max="2" width="18.28515625" bestFit="1" customWidth="1"/>
    <col min="3" max="3" width="27.140625" bestFit="1" customWidth="1"/>
    <col min="5" max="5" width="3.85546875" customWidth="1"/>
    <col min="6" max="7" width="18.7109375" customWidth="1"/>
  </cols>
  <sheetData>
    <row r="2" spans="2:7" x14ac:dyDescent="0.25">
      <c r="B2" s="13" t="s">
        <v>0</v>
      </c>
      <c r="C2" s="13"/>
      <c r="D2" s="13"/>
      <c r="E2" s="1"/>
      <c r="F2" s="12" t="s">
        <v>1</v>
      </c>
      <c r="G2" s="12" t="s">
        <v>2</v>
      </c>
    </row>
    <row r="3" spans="2:7" x14ac:dyDescent="0.25">
      <c r="B3" s="14" t="s">
        <v>3</v>
      </c>
      <c r="C3" s="6" t="s">
        <v>4</v>
      </c>
      <c r="D3" s="6">
        <v>1.2250000000000001</v>
      </c>
      <c r="E3" s="1"/>
      <c r="F3" s="11">
        <v>0</v>
      </c>
      <c r="G3" s="11">
        <f>ActuatorDiscThrust(F3,$D$3,$D$4,$D$5)</f>
        <v>0</v>
      </c>
    </row>
    <row r="4" spans="2:7" x14ac:dyDescent="0.25">
      <c r="B4" s="14"/>
      <c r="C4" s="6" t="s">
        <v>5</v>
      </c>
      <c r="D4" s="6">
        <v>3</v>
      </c>
      <c r="E4" s="1"/>
      <c r="F4" s="6">
        <v>10000</v>
      </c>
      <c r="G4" s="11">
        <f t="shared" ref="G4:G18" si="0">ActuatorDiscThrust(F4,$D$3,$D$4,$D$5)</f>
        <v>197.89126253303081</v>
      </c>
    </row>
    <row r="5" spans="2:7" x14ac:dyDescent="0.25">
      <c r="B5" s="14"/>
      <c r="C5" s="6" t="s">
        <v>6</v>
      </c>
      <c r="D5" s="6">
        <v>50</v>
      </c>
      <c r="E5" s="1"/>
      <c r="F5" s="11">
        <v>20000</v>
      </c>
      <c r="G5" s="11">
        <f t="shared" si="0"/>
        <v>391.81611455255774</v>
      </c>
    </row>
    <row r="6" spans="2:7" x14ac:dyDescent="0.25">
      <c r="B6" s="14"/>
      <c r="C6" s="6" t="s">
        <v>7</v>
      </c>
      <c r="D6" s="7">
        <v>0.85</v>
      </c>
      <c r="E6" s="1"/>
      <c r="F6" s="6">
        <v>30000</v>
      </c>
      <c r="G6" s="11">
        <f t="shared" si="0"/>
        <v>582.1090102566892</v>
      </c>
    </row>
    <row r="7" spans="2:7" x14ac:dyDescent="0.25">
      <c r="B7" s="14"/>
      <c r="C7" s="6" t="s">
        <v>8</v>
      </c>
      <c r="D7" s="6">
        <v>500</v>
      </c>
      <c r="E7" s="1"/>
      <c r="F7" s="11">
        <v>40000</v>
      </c>
      <c r="G7" s="11">
        <f t="shared" si="0"/>
        <v>769.05726470083732</v>
      </c>
    </row>
    <row r="8" spans="2:7" x14ac:dyDescent="0.25">
      <c r="B8" s="8" t="s">
        <v>9</v>
      </c>
      <c r="C8" s="6" t="str">
        <f>C10</f>
        <v>induced velocity (m/s)</v>
      </c>
      <c r="D8" s="9">
        <f>InducedVelocity(D7,D3,D4,D5)</f>
        <v>1.3254099851142627</v>
      </c>
      <c r="E8" s="1"/>
      <c r="F8" s="6">
        <v>50000</v>
      </c>
      <c r="G8" s="11">
        <f t="shared" si="0"/>
        <v>952.91003631777301</v>
      </c>
    </row>
    <row r="9" spans="2:7" x14ac:dyDescent="0.25">
      <c r="B9" s="15" t="s">
        <v>10</v>
      </c>
      <c r="C9" s="6" t="s">
        <v>11</v>
      </c>
      <c r="D9" s="9">
        <f>SQRT(D7/(2*D3*D4))</f>
        <v>8.2478609884232252</v>
      </c>
      <c r="E9" s="1"/>
      <c r="F9" s="11">
        <v>60000</v>
      </c>
      <c r="G9" s="11">
        <f t="shared" si="0"/>
        <v>1133.8852028722929</v>
      </c>
    </row>
    <row r="10" spans="2:7" x14ac:dyDescent="0.25">
      <c r="B10" s="15"/>
      <c r="C10" s="6" t="s">
        <v>12</v>
      </c>
      <c r="D10" s="9">
        <f>-D5/2 + D9*SQRT((D5/(2*D9))^2 + 1)</f>
        <v>1.3254099851142627</v>
      </c>
      <c r="E10" s="1"/>
      <c r="F10" s="6">
        <v>70000</v>
      </c>
      <c r="G10" s="11">
        <f t="shared" si="0"/>
        <v>1312.1747077039161</v>
      </c>
    </row>
    <row r="11" spans="2:7" x14ac:dyDescent="0.25">
      <c r="B11" s="1"/>
      <c r="C11" s="1"/>
      <c r="D11" s="1"/>
      <c r="E11" s="1"/>
      <c r="F11" s="11">
        <v>80000</v>
      </c>
      <c r="G11" s="11">
        <f t="shared" si="0"/>
        <v>1487.9487747188198</v>
      </c>
    </row>
    <row r="12" spans="2:7" x14ac:dyDescent="0.25">
      <c r="B12" s="3"/>
      <c r="C12" s="1" t="s">
        <v>13</v>
      </c>
      <c r="D12" s="2">
        <f>D7*(D5 + D10)</f>
        <v>25662.70499255713</v>
      </c>
      <c r="E12" s="1"/>
      <c r="F12" s="6">
        <v>90000</v>
      </c>
      <c r="G12" s="11">
        <f t="shared" si="0"/>
        <v>1661.3592730922271</v>
      </c>
    </row>
    <row r="13" spans="2:7" x14ac:dyDescent="0.25">
      <c r="B13" s="3"/>
      <c r="C13" s="1" t="s">
        <v>14</v>
      </c>
      <c r="D13" s="2">
        <f>D12/D6</f>
        <v>30191.417638302508</v>
      </c>
      <c r="E13" s="1"/>
      <c r="F13" s="11">
        <v>100000</v>
      </c>
      <c r="G13" s="11">
        <f t="shared" si="0"/>
        <v>1832.5424334703425</v>
      </c>
    </row>
    <row r="14" spans="2:7" x14ac:dyDescent="0.25">
      <c r="B14" s="3"/>
      <c r="C14" s="1" t="s">
        <v>15</v>
      </c>
      <c r="D14" s="4">
        <f>D7*D5/D13</f>
        <v>0.82804988820013581</v>
      </c>
      <c r="E14" s="1"/>
      <c r="F14" s="6">
        <v>110000</v>
      </c>
      <c r="G14" s="11">
        <f t="shared" si="0"/>
        <v>2001.6210630170349</v>
      </c>
    </row>
    <row r="15" spans="2:7" x14ac:dyDescent="0.25">
      <c r="B15" s="3"/>
      <c r="C15" s="1" t="s">
        <v>16</v>
      </c>
      <c r="D15" s="4">
        <f>D5/(D5+D10)</f>
        <v>0.97417633905898326</v>
      </c>
      <c r="E15" s="1"/>
      <c r="F15" s="11">
        <v>120000</v>
      </c>
      <c r="G15" s="11">
        <f t="shared" si="0"/>
        <v>2168.706368518122</v>
      </c>
    </row>
    <row r="16" spans="2:7" x14ac:dyDescent="0.25">
      <c r="B16" s="3"/>
      <c r="C16" s="1"/>
      <c r="D16" s="1"/>
      <c r="E16" s="1"/>
      <c r="F16" s="6">
        <v>130000</v>
      </c>
      <c r="G16" s="11">
        <f t="shared" si="0"/>
        <v>2333.8994696007348</v>
      </c>
    </row>
    <row r="17" spans="2:7" x14ac:dyDescent="0.25">
      <c r="B17" s="13" t="s">
        <v>17</v>
      </c>
      <c r="C17" s="13"/>
      <c r="D17" s="13"/>
      <c r="E17" s="1"/>
      <c r="F17" s="11">
        <v>140000</v>
      </c>
      <c r="G17" s="11">
        <f t="shared" si="0"/>
        <v>2497.2926644921922</v>
      </c>
    </row>
    <row r="18" spans="2:7" x14ac:dyDescent="0.25">
      <c r="B18" s="8" t="s">
        <v>9</v>
      </c>
      <c r="C18" s="6" t="s">
        <v>8</v>
      </c>
      <c r="D18" s="6">
        <f>ActuatorDiscThrust(D12,D3,D4,D5)</f>
        <v>499.99999999999852</v>
      </c>
      <c r="E18" s="1"/>
      <c r="F18" s="6">
        <v>150000</v>
      </c>
      <c r="G18" s="11">
        <f t="shared" si="0"/>
        <v>2658.9704963506583</v>
      </c>
    </row>
    <row r="19" spans="2:7" x14ac:dyDescent="0.25">
      <c r="B19" s="14" t="s">
        <v>10</v>
      </c>
      <c r="C19" s="6" t="s">
        <v>18</v>
      </c>
      <c r="D19" s="10">
        <f>SQRT(3 * D12^3 * (8 * D4 * D3 * D5^3 + 27 * D12)) + 9 * D12^2</f>
        <v>20808791942.878998</v>
      </c>
      <c r="E19" s="1"/>
      <c r="F19" s="2"/>
      <c r="G19" s="2"/>
    </row>
    <row r="20" spans="2:7" x14ac:dyDescent="0.25">
      <c r="B20" s="14"/>
      <c r="C20" s="6" t="s">
        <v>8</v>
      </c>
      <c r="D20" s="6">
        <f>(D19 ^ (2 / 3) / 3 - (2 * D12 * D5 * (3 * D4 * D3) ^ (1 / 3)) / 3) * ((3 * D4 * D3) / D19) ^ (1 / 3)</f>
        <v>499.99999999999949</v>
      </c>
      <c r="E20" s="1"/>
      <c r="F20" s="1"/>
      <c r="G20" s="2"/>
    </row>
    <row r="21" spans="2:7" x14ac:dyDescent="0.25">
      <c r="B21" s="3"/>
      <c r="C21" s="1"/>
      <c r="D21" s="1"/>
      <c r="E21" s="1"/>
      <c r="F21" s="2"/>
      <c r="G21" s="2"/>
    </row>
    <row r="22" spans="2:7" x14ac:dyDescent="0.25">
      <c r="B22" s="3"/>
      <c r="C22" s="1" t="s">
        <v>19</v>
      </c>
      <c r="D22" s="5">
        <f>D18-D7</f>
        <v>-1.4779288903810084E-12</v>
      </c>
      <c r="E22" s="1"/>
      <c r="F22" s="1"/>
      <c r="G22" s="2"/>
    </row>
  </sheetData>
  <mergeCells count="5">
    <mergeCell ref="B2:D2"/>
    <mergeCell ref="B3:B7"/>
    <mergeCell ref="B9:B10"/>
    <mergeCell ref="B17:D17"/>
    <mergeCell ref="B19:B2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actuator_disc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2019-05-24T18:30:58Z</dcterms:created>
  <dcterms:modified xsi:type="dcterms:W3CDTF">2019-05-24T18:31:29Z</dcterms:modified>
</cp:coreProperties>
</file>